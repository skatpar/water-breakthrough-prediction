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N:\RDM\06_Business Plan\Stixor\"/>
    </mc:Choice>
  </mc:AlternateContent>
  <xr:revisionPtr revIDLastSave="0" documentId="8_{C1568086-F0D0-486D-89A8-E6A8E09D6E85}" xr6:coauthVersionLast="47" xr6:coauthVersionMax="47" xr10:uidLastSave="{00000000-0000-0000-0000-000000000000}"/>
  <bookViews>
    <workbookView xWindow="-108" yWindow="-108" windowWidth="23256" windowHeight="12456" xr2:uid="{83D02896-866E-47CF-9A5A-CFDE5FD627B9}"/>
  </bookViews>
  <sheets>
    <sheet name="Additional Data shar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" l="1"/>
  <c r="G22" i="1"/>
  <c r="G21" i="1"/>
  <c r="G20" i="1"/>
  <c r="G17" i="1"/>
  <c r="G14" i="1"/>
  <c r="G9" i="1"/>
  <c r="G8" i="1"/>
  <c r="G7" i="1"/>
  <c r="G6" i="1"/>
</calcChain>
</file>

<file path=xl/sharedStrings.xml><?xml version="1.0" encoding="utf-8"?>
<sst xmlns="http://schemas.openxmlformats.org/spreadsheetml/2006/main" count="32" uniqueCount="32">
  <si>
    <t>Wells</t>
  </si>
  <si>
    <t>Porosity</t>
  </si>
  <si>
    <t>Permeability (mD) - PTA</t>
  </si>
  <si>
    <t>Skin</t>
  </si>
  <si>
    <t>Water saturation</t>
  </si>
  <si>
    <t>Net pay (m) 
Measured Depth</t>
  </si>
  <si>
    <t>Chlorides (ppm)</t>
  </si>
  <si>
    <t>Top Perf (m)</t>
  </si>
  <si>
    <t>Bottom Perf (m)</t>
  </si>
  <si>
    <t>M-11-HRL</t>
  </si>
  <si>
    <t>Notes:</t>
  </si>
  <si>
    <t>M-122H-HRL</t>
  </si>
  <si>
    <t>M-123H-HRL</t>
  </si>
  <si>
    <t>M-124H-HRL</t>
  </si>
  <si>
    <t>M-125H-HRL</t>
  </si>
  <si>
    <t>M-126H-HRL</t>
  </si>
  <si>
    <t>M-13-HRL</t>
  </si>
  <si>
    <t>M-22-HRL</t>
  </si>
  <si>
    <t>M-41-HRL</t>
  </si>
  <si>
    <t>M-50-HRL</t>
  </si>
  <si>
    <t>M-51-HRL</t>
  </si>
  <si>
    <t>M-56-HRL</t>
  </si>
  <si>
    <t>M-57-HRL</t>
  </si>
  <si>
    <t>M-58-HRL</t>
  </si>
  <si>
    <t>M-61-HRL</t>
  </si>
  <si>
    <t>M-63-HRL</t>
  </si>
  <si>
    <t>M-65-HRL</t>
  </si>
  <si>
    <t>M-67-HRL</t>
  </si>
  <si>
    <t>M-75-HRL</t>
  </si>
  <si>
    <t>M-81-HRL</t>
  </si>
  <si>
    <t>M-82-HRL</t>
  </si>
  <si>
    <t>M-E-2-HRL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</si>
</sst>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[Red]\(0.00\)"/>
  </numFmts>
  <fonts count="3" x14ac:knownFonts="1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4">
    <xf numFmtId="0" fontId="0" fillId="0" borderId="0" xfId="0"/>
    <xf numFmtId="0" fontId="2" fillId="3" borderId="2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 wrapText="1"/>
    </xf>
    <xf numFmtId="0" fontId="2" fillId="3" borderId="4" xfId="1" applyFont="1" applyFill="1" applyBorder="1" applyAlignment="1">
      <alignment horizontal="center" vertical="center" wrapText="1"/>
    </xf>
    <xf numFmtId="0" fontId="0" fillId="0" borderId="5" xfId="0" applyBorder="1"/>
    <xf numFmtId="2" fontId="0" fillId="0" borderId="6" xfId="0" applyNumberFormat="1" applyBorder="1"/>
    <xf numFmtId="164" fontId="0" fillId="0" borderId="6" xfId="0" applyNumberFormat="1" applyBorder="1"/>
    <xf numFmtId="0" fontId="0" fillId="0" borderId="6" xfId="0" applyBorder="1"/>
    <xf numFmtId="2" fontId="0" fillId="0" borderId="7" xfId="0" applyNumberFormat="1" applyBorder="1"/>
    <xf numFmtId="0" fontId="0" fillId="0" borderId="8" xfId="0" applyBorder="1"/>
    <xf numFmtId="2" fontId="0" fillId="0" borderId="9" xfId="0" applyNumberFormat="1" applyBorder="1"/>
    <xf numFmtId="164" fontId="0" fillId="0" borderId="9" xfId="0" applyNumberFormat="1" applyBorder="1"/>
    <xf numFmtId="1" fontId="0" fillId="0" borderId="9" xfId="0" applyNumberFormat="1" applyBorder="1"/>
    <xf numFmtId="2" fontId="0" fillId="0" borderId="10" xfId="0" applyNumberFormat="1" applyBorder="1"/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C7ADE-133E-4F9F-94EF-496D4252BA90}">
  <dimension ref="B2:L25"/>
  <sheetViews>
    <sheetView showGridLines="0" tabSelected="1" workbookViewId="0">
      <selection activeCell="G21" sqref="G21"/>
    </sheetView>
  </sheetViews>
  <sheetFormatPr defaultRowHeight="14.4" x14ac:dyDescent="0.3"/>
  <cols>
    <col min="2" max="2" width="15.6640625" customWidth="1"/>
    <col min="3" max="3" width="12.88671875" customWidth="1"/>
    <col min="4" max="4" width="19.44140625" customWidth="1"/>
    <col min="5" max="5" width="9.5546875" customWidth="1"/>
    <col min="6" max="6" width="15.77734375" customWidth="1"/>
    <col min="7" max="7" width="18.6640625" bestFit="1" customWidth="1"/>
    <col min="8" max="8" width="15.6640625" customWidth="1"/>
    <col min="9" max="9" width="12.44140625" customWidth="1"/>
    <col min="10" max="10" width="16.109375" customWidth="1"/>
  </cols>
  <sheetData>
    <row r="2" spans="2:12" ht="15" thickBot="1" x14ac:dyDescent="0.35"/>
    <row r="3" spans="2:12" ht="43.5" customHeight="1" x14ac:dyDescent="0.3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3" t="s">
        <v>8</v>
      </c>
    </row>
    <row r="4" spans="2:12" x14ac:dyDescent="0.3">
      <c r="B4" s="4" t="s">
        <v>9</v>
      </c>
      <c r="C4" s="5">
        <v>0.2</v>
      </c>
      <c r="D4" s="5">
        <v>7.4</v>
      </c>
      <c r="E4" s="6">
        <v>-0.1</v>
      </c>
      <c r="F4" s="5">
        <v>0.45</v>
      </c>
      <c r="G4" s="5">
        <v>10.5</v>
      </c>
      <c r="H4" s="7">
        <v>17000</v>
      </c>
      <c r="I4" s="5">
        <v>695</v>
      </c>
      <c r="J4" s="8">
        <v>705.5</v>
      </c>
      <c r="L4" t="s">
        <v>10</v>
      </c>
    </row>
    <row r="5" spans="2:12" x14ac:dyDescent="0.3">
      <c r="B5" s="4" t="s">
        <v>11</v>
      </c>
      <c r="C5" s="5">
        <v>0.22</v>
      </c>
      <c r="D5" s="5">
        <v>34</v>
      </c>
      <c r="E5" s="6"/>
      <c r="F5" s="5">
        <v>0.46</v>
      </c>
      <c r="G5" s="5">
        <v>530</v>
      </c>
      <c r="H5" s="7">
        <v>13000</v>
      </c>
      <c r="I5" s="5">
        <v>1020</v>
      </c>
      <c r="J5" s="8">
        <v>1550</v>
      </c>
    </row>
    <row r="6" spans="2:12" x14ac:dyDescent="0.3">
      <c r="B6" s="4" t="s">
        <v>12</v>
      </c>
      <c r="C6" s="5">
        <v>0.24</v>
      </c>
      <c r="D6" s="5">
        <v>22.5</v>
      </c>
      <c r="E6" s="6"/>
      <c r="F6" s="5">
        <v>0.3</v>
      </c>
      <c r="G6" s="5">
        <f>J6-I6</f>
        <v>802</v>
      </c>
      <c r="H6" s="7">
        <v>1215</v>
      </c>
      <c r="I6" s="5">
        <v>1044</v>
      </c>
      <c r="J6" s="8">
        <v>1846</v>
      </c>
    </row>
    <row r="7" spans="2:12" x14ac:dyDescent="0.3">
      <c r="B7" s="4" t="s">
        <v>13</v>
      </c>
      <c r="C7" s="5">
        <v>0.22</v>
      </c>
      <c r="D7" s="5">
        <v>34</v>
      </c>
      <c r="E7" s="6"/>
      <c r="F7" s="5">
        <v>0.46</v>
      </c>
      <c r="G7" s="5">
        <f>J7-I7</f>
        <v>475</v>
      </c>
      <c r="H7" s="7">
        <v>10000</v>
      </c>
      <c r="I7" s="5">
        <v>918</v>
      </c>
      <c r="J7" s="8">
        <v>1393</v>
      </c>
    </row>
    <row r="8" spans="2:12" x14ac:dyDescent="0.3">
      <c r="B8" s="4" t="s">
        <v>14</v>
      </c>
      <c r="C8" s="5">
        <v>0.24</v>
      </c>
      <c r="D8" s="5">
        <v>22.5</v>
      </c>
      <c r="E8" s="6"/>
      <c r="F8" s="5">
        <v>0.3</v>
      </c>
      <c r="G8" s="5">
        <f>J8-I8</f>
        <v>758</v>
      </c>
      <c r="H8" s="7">
        <v>2500</v>
      </c>
      <c r="I8" s="5">
        <v>951</v>
      </c>
      <c r="J8" s="8">
        <v>1709</v>
      </c>
    </row>
    <row r="9" spans="2:12" x14ac:dyDescent="0.3">
      <c r="B9" s="4" t="s">
        <v>15</v>
      </c>
      <c r="C9" s="5">
        <v>0.22</v>
      </c>
      <c r="D9" s="5">
        <v>34</v>
      </c>
      <c r="E9" s="6"/>
      <c r="F9" s="5">
        <v>0.46</v>
      </c>
      <c r="G9" s="5">
        <f>J9-I9</f>
        <v>719</v>
      </c>
      <c r="H9" s="7">
        <v>13000</v>
      </c>
      <c r="I9" s="5">
        <v>993</v>
      </c>
      <c r="J9" s="8">
        <v>1712</v>
      </c>
    </row>
    <row r="10" spans="2:12" x14ac:dyDescent="0.3">
      <c r="B10" s="4" t="s">
        <v>16</v>
      </c>
      <c r="C10" s="5">
        <v>0.18</v>
      </c>
      <c r="D10" s="5">
        <v>9.5</v>
      </c>
      <c r="E10" s="6">
        <v>-2.8</v>
      </c>
      <c r="F10" s="5">
        <v>0.31</v>
      </c>
      <c r="G10" s="5">
        <v>10.199999999999932</v>
      </c>
      <c r="H10" s="7">
        <v>15000</v>
      </c>
      <c r="I10" s="5">
        <v>691.6</v>
      </c>
      <c r="J10" s="8">
        <v>701.8</v>
      </c>
    </row>
    <row r="11" spans="2:12" x14ac:dyDescent="0.3">
      <c r="B11" s="4" t="s">
        <v>17</v>
      </c>
      <c r="C11" s="5">
        <v>0.19</v>
      </c>
      <c r="D11" s="5">
        <v>5.9</v>
      </c>
      <c r="E11" s="6">
        <v>5.3</v>
      </c>
      <c r="F11" s="5">
        <v>0.42</v>
      </c>
      <c r="G11" s="5">
        <v>11.649999999999977</v>
      </c>
      <c r="H11" s="7">
        <v>14000</v>
      </c>
      <c r="I11" s="5">
        <v>708.75</v>
      </c>
      <c r="J11" s="8">
        <v>720.4</v>
      </c>
    </row>
    <row r="12" spans="2:12" x14ac:dyDescent="0.3">
      <c r="B12" s="4" t="s">
        <v>18</v>
      </c>
      <c r="C12" s="5">
        <v>0.17</v>
      </c>
      <c r="D12" s="5">
        <v>37.1</v>
      </c>
      <c r="E12" s="6">
        <v>-0.1</v>
      </c>
      <c r="F12" s="5">
        <v>0.13</v>
      </c>
      <c r="G12" s="5">
        <v>10.700000000000045</v>
      </c>
      <c r="H12" s="7">
        <v>13000</v>
      </c>
      <c r="I12" s="5">
        <v>697.5</v>
      </c>
      <c r="J12" s="8">
        <v>708.2</v>
      </c>
    </row>
    <row r="13" spans="2:12" x14ac:dyDescent="0.3">
      <c r="B13" s="4" t="s">
        <v>19</v>
      </c>
      <c r="C13" s="5">
        <v>0.19</v>
      </c>
      <c r="D13" s="5">
        <v>17.8</v>
      </c>
      <c r="E13" s="6">
        <v>1.4</v>
      </c>
      <c r="F13" s="5">
        <v>0.43</v>
      </c>
      <c r="G13" s="5">
        <v>10.700000000000045</v>
      </c>
      <c r="H13" s="7">
        <v>15000</v>
      </c>
      <c r="I13" s="5">
        <v>697.5</v>
      </c>
      <c r="J13" s="8">
        <v>708.2</v>
      </c>
    </row>
    <row r="14" spans="2:12" x14ac:dyDescent="0.3">
      <c r="B14" s="4" t="s">
        <v>20</v>
      </c>
      <c r="C14" s="5">
        <v>0.19</v>
      </c>
      <c r="D14" s="5">
        <v>7</v>
      </c>
      <c r="E14" s="6">
        <v>-1.7</v>
      </c>
      <c r="F14" s="5">
        <v>0.37</v>
      </c>
      <c r="G14" s="5">
        <f>J14-I14</f>
        <v>10</v>
      </c>
      <c r="H14" s="7">
        <v>14000</v>
      </c>
      <c r="I14" s="5">
        <v>702</v>
      </c>
      <c r="J14" s="8">
        <v>712</v>
      </c>
    </row>
    <row r="15" spans="2:12" x14ac:dyDescent="0.3">
      <c r="B15" s="4" t="s">
        <v>21</v>
      </c>
      <c r="C15" s="5">
        <v>0.22</v>
      </c>
      <c r="D15" s="5">
        <v>5.9</v>
      </c>
      <c r="E15" s="6">
        <v>-2</v>
      </c>
      <c r="F15" s="5">
        <v>0.3</v>
      </c>
      <c r="G15" s="5">
        <v>10.200000000000045</v>
      </c>
      <c r="H15" s="7">
        <v>23000</v>
      </c>
      <c r="I15" s="5">
        <v>690</v>
      </c>
      <c r="J15" s="8">
        <v>700.2</v>
      </c>
    </row>
    <row r="16" spans="2:12" x14ac:dyDescent="0.3">
      <c r="B16" s="4" t="s">
        <v>22</v>
      </c>
      <c r="C16" s="5">
        <v>0.22</v>
      </c>
      <c r="D16" s="5">
        <v>8.6</v>
      </c>
      <c r="E16" s="6">
        <v>-2.5</v>
      </c>
      <c r="F16" s="5">
        <v>0.28000000000000003</v>
      </c>
      <c r="G16" s="5">
        <v>11.344799999999964</v>
      </c>
      <c r="H16" s="7">
        <v>18000</v>
      </c>
      <c r="I16" s="5">
        <v>690</v>
      </c>
      <c r="J16" s="8">
        <v>701.34479999999996</v>
      </c>
    </row>
    <row r="17" spans="2:10" x14ac:dyDescent="0.3">
      <c r="B17" s="4" t="s">
        <v>23</v>
      </c>
      <c r="C17" s="5">
        <v>0.21</v>
      </c>
      <c r="D17" s="5">
        <v>3.8</v>
      </c>
      <c r="E17" s="6">
        <v>-1.9</v>
      </c>
      <c r="F17" s="5">
        <v>0.36</v>
      </c>
      <c r="G17" s="5">
        <f>J17-I17</f>
        <v>10.5</v>
      </c>
      <c r="H17" s="7">
        <v>14000</v>
      </c>
      <c r="I17" s="5">
        <v>697.3</v>
      </c>
      <c r="J17" s="8">
        <v>707.8</v>
      </c>
    </row>
    <row r="18" spans="2:10" x14ac:dyDescent="0.3">
      <c r="B18" s="4" t="s">
        <v>24</v>
      </c>
      <c r="C18" s="5">
        <v>0.24</v>
      </c>
      <c r="D18" s="5">
        <v>17.2</v>
      </c>
      <c r="E18" s="6">
        <v>-0.5</v>
      </c>
      <c r="F18" s="5">
        <v>0.31</v>
      </c>
      <c r="G18" s="5">
        <v>12</v>
      </c>
      <c r="H18" s="7">
        <v>12000</v>
      </c>
      <c r="I18" s="5">
        <v>711</v>
      </c>
      <c r="J18" s="8">
        <v>723</v>
      </c>
    </row>
    <row r="19" spans="2:10" x14ac:dyDescent="0.3">
      <c r="B19" s="4" t="s">
        <v>25</v>
      </c>
      <c r="C19" s="5">
        <v>0.23</v>
      </c>
      <c r="D19" s="5">
        <v>21.8</v>
      </c>
      <c r="E19" s="6">
        <v>-1.5</v>
      </c>
      <c r="F19" s="5">
        <v>0.21</v>
      </c>
      <c r="G19" s="5">
        <v>10.700000000000045</v>
      </c>
      <c r="H19" s="7">
        <v>17000</v>
      </c>
      <c r="I19" s="5">
        <v>711.5</v>
      </c>
      <c r="J19" s="8">
        <v>722.2</v>
      </c>
    </row>
    <row r="20" spans="2:10" x14ac:dyDescent="0.3">
      <c r="B20" s="4" t="s">
        <v>26</v>
      </c>
      <c r="C20" s="5">
        <v>0.21</v>
      </c>
      <c r="D20" s="5">
        <v>22.2</v>
      </c>
      <c r="E20" s="6">
        <v>-2.4</v>
      </c>
      <c r="F20" s="5">
        <v>0.19</v>
      </c>
      <c r="G20" s="5">
        <f>J20-I20</f>
        <v>15.240185320653495</v>
      </c>
      <c r="H20" s="7">
        <v>16000</v>
      </c>
      <c r="I20" s="5">
        <v>711.4118507681053</v>
      </c>
      <c r="J20" s="8">
        <v>726.65203608875879</v>
      </c>
    </row>
    <row r="21" spans="2:10" x14ac:dyDescent="0.3">
      <c r="B21" s="4" t="s">
        <v>27</v>
      </c>
      <c r="C21" s="5">
        <v>0.2</v>
      </c>
      <c r="D21" s="5">
        <v>8.1999999999999993</v>
      </c>
      <c r="E21" s="6">
        <v>-1.2</v>
      </c>
      <c r="F21" s="5">
        <v>0.26</v>
      </c>
      <c r="G21" s="5">
        <f t="shared" ref="G21:G22" si="0">J21-I21</f>
        <v>9.1441111923921881</v>
      </c>
      <c r="H21" s="7">
        <v>16000</v>
      </c>
      <c r="I21" s="5">
        <v>716.28871007071439</v>
      </c>
      <c r="J21" s="8">
        <v>725.43282126310658</v>
      </c>
    </row>
    <row r="22" spans="2:10" x14ac:dyDescent="0.3">
      <c r="B22" s="4" t="s">
        <v>28</v>
      </c>
      <c r="C22" s="5">
        <v>0.2</v>
      </c>
      <c r="D22" s="5">
        <v>12.5</v>
      </c>
      <c r="E22" s="6">
        <v>1.1000000000000001</v>
      </c>
      <c r="F22" s="5">
        <v>0.35</v>
      </c>
      <c r="G22" s="5">
        <f t="shared" si="0"/>
        <v>12.192148256522842</v>
      </c>
      <c r="H22" s="7">
        <v>14000</v>
      </c>
      <c r="I22" s="5">
        <v>716.28871007071439</v>
      </c>
      <c r="J22" s="8">
        <v>728.48085832723723</v>
      </c>
    </row>
    <row r="23" spans="2:10" x14ac:dyDescent="0.3">
      <c r="B23" s="4" t="s">
        <v>29</v>
      </c>
      <c r="C23" s="5">
        <v>0.2</v>
      </c>
      <c r="D23" s="5">
        <v>6.8</v>
      </c>
      <c r="E23" s="6">
        <v>-2.5</v>
      </c>
      <c r="F23" s="5">
        <v>0.35</v>
      </c>
      <c r="G23" s="5">
        <v>11.5</v>
      </c>
      <c r="H23" s="7">
        <v>7000</v>
      </c>
      <c r="I23" s="5">
        <v>704.5</v>
      </c>
      <c r="J23" s="8">
        <v>716</v>
      </c>
    </row>
    <row r="24" spans="2:10" x14ac:dyDescent="0.3">
      <c r="B24" s="4" t="s">
        <v>30</v>
      </c>
      <c r="C24" s="5">
        <v>0.2</v>
      </c>
      <c r="D24" s="5">
        <v>3.3</v>
      </c>
      <c r="E24" s="6">
        <v>-1.7</v>
      </c>
      <c r="F24" s="5">
        <v>0.35</v>
      </c>
      <c r="G24" s="5">
        <v>11.099999999999909</v>
      </c>
      <c r="H24" s="7">
        <v>14000</v>
      </c>
      <c r="I24" s="5">
        <v>714.2</v>
      </c>
      <c r="J24" s="8">
        <v>725.3</v>
      </c>
    </row>
    <row r="25" spans="2:10" ht="15" thickBot="1" x14ac:dyDescent="0.35">
      <c r="B25" s="9" t="s">
        <v>31</v>
      </c>
      <c r="C25" s="10">
        <v>0.22</v>
      </c>
      <c r="D25" s="10">
        <v>23.6</v>
      </c>
      <c r="E25" s="11">
        <v>3.8</v>
      </c>
      <c r="F25" s="10">
        <v>0.42</v>
      </c>
      <c r="G25" s="10">
        <f>J25-I25</f>
        <v>6.0960741282613071</v>
      </c>
      <c r="H25" s="12">
        <v>14000</v>
      </c>
      <c r="I25" s="10">
        <v>729.70007315288956</v>
      </c>
      <c r="J25" s="13">
        <v>735.79614728115087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Additional Data shared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ISB_RDM Saher Malik</dc:creator>
  <cp:lastModifiedBy>ISB_RDM Saher Malik</cp:lastModifiedBy>
  <dcterms:created xsi:type="dcterms:W3CDTF">2026-04-07T11:51:26Z</dcterms:created>
  <dcterms:modified xsi:type="dcterms:W3CDTF">2026-04-07T11:51:59Z</dcterms:modified>
</cp:coreProperties>
</file>